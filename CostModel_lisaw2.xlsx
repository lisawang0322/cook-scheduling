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nputs" sheetId="1" r:id="rId5"/>
    <sheet state="visible" name="2. Per-call" sheetId="2" r:id="rId6"/>
    <sheet state="visible" name="3. Per-user" sheetId="3" r:id="rId7"/>
    <sheet state="visible" name="4. Scale curve" sheetId="4" r:id="rId8"/>
    <sheet state="visible" name="5. Margin" sheetId="5" r:id="rId9"/>
    <sheet state="visible" name="6. Sensitivity" sheetId="6" r:id="rId10"/>
  </sheets>
  <definedNames/>
  <calcPr/>
</workbook>
</file>

<file path=xl/sharedStrings.xml><?xml version="1.0" encoding="utf-8"?>
<sst xmlns="http://schemas.openxmlformats.org/spreadsheetml/2006/main" count="136" uniqueCount="128">
  <si>
    <t>AI PRODUCT COST MODEL  ·  Predictive ML Cook Sequencer  ·  7-Eleven Food Planner</t>
  </si>
  <si>
    <t>Week 4 deliverable  ·  six tabs  ·  blue = inputs you set  ·  black = formulas</t>
  </si>
  <si>
    <t>INPUT</t>
  </si>
  <si>
    <t>VALUE</t>
  </si>
  <si>
    <t>NOTES / SOURCE</t>
  </si>
  <si>
    <t>A · INFERENCE INPUTS  (what feeds the model each call)</t>
  </si>
  <si>
    <t>Features per inference call</t>
  </si>
  <si>
    <t>Global Features (~10 features)
decision_hour — Time of day (0–23)
is_weekend — Boolean
day_of_week — Categorical (Monday–Sunday)
store_type — Categorical (urban/suburban/highway)
num_oven_items — Count of items competing
oven_capacity — Max items oven can hold (assumed 4)
items_queued — Number of items waiting
Per-Item Features (~12 features per item)
For each item variant (roller grill, pizza 2hr, pizza 4hr, wings 2hr, wings 4hr, hot foods 1hr, hot foods 2hr, hot foods 4hr, bake-in-store):
*_demand — Forecast demand
*_lcu — Lowest cookable unit
*_hold_time — Hold time (1/2/4/24 hrs)
*_urgency — 1 / time_remaining
*_demand_density — demand / LCU
*_time_remaining — Hours until window ends
*_margin — Item profit margin (new)
*_historical_waste — Historical write-off rate
*_equipment_type — Oven vs. roller grill (new)
Difference Features (~8 features per pair)
diff_demand, diff_urgency, diff_margin, diff_waste
diff_hold_time, diff_time_remaining
Total per pairwise call: ~50 features</t>
  </si>
  <si>
    <t>Items ranked per call</t>
  </si>
  <si>
    <t>Max items: 12 (roller grill, pizza 2hr/4hr, wings 2hr/4hr, hot foods 1hr/2hr/4hr, bake-in-store)</t>
  </si>
  <si>
    <t>Inference calls per active user / day</t>
  </si>
  <si>
    <t>Decision points every 2 hours × 12 windows/day (24-hour operation)</t>
  </si>
  <si>
    <t>Active users (stores) — pilot</t>
  </si>
  <si>
    <t>Pilot scope: 50 stores; scale tabs model 500 → 13,000</t>
  </si>
  <si>
    <t>Avg peak hours / store / day</t>
  </si>
  <si>
    <t>Peak lunch (10–14) and dinner (16–20) within 24-hour window</t>
  </si>
  <si>
    <t>B · MODEL HOSTING &amp; SERVING COST</t>
  </si>
  <si>
    <t>Inference compute cost ($/1,000 calls)</t>
  </si>
  <si>
    <t>Tabular ML inference on managed endpoint (e.g., AWS SageMaker, Azure ML, GCP Vertex). Scikit-learn / XGBoost latency &lt;50ms. ~$4/M calls. Source: AWS SageMaker pricing, real-time inference, ml.t3.medium</t>
  </si>
  <si>
    <t>Hosting / endpoint monthly fee ($)</t>
  </si>
  <si>
    <t>Always-on managed endpoint: ~$0.20/hr × 730 hrs. Covers all stores; fixed cost amortized across users. Source: AWS SageMaker ml.t3.medium on-demand</t>
  </si>
  <si>
    <t>API gateway / routing fee ($/1,000 calls)</t>
  </si>
  <si>
    <t>REST API calls through gateway (AWS API Gateway: $3.50/M calls). Source: AWS API Gateway pricing 2025</t>
  </si>
  <si>
    <t>C · MODEL TRAINING &amp; RETRAINING</t>
  </si>
  <si>
    <t>Initial training compute cost ($)</t>
  </si>
  <si>
    <t>One-time: XGBoost/LightGBM on synthesized + pilot data. GPU not required for tabular. Estimated 4 hrs × $50/hr on ml.m5.xlarge. Source: AWS SageMaker training jobs pricing</t>
  </si>
  <si>
    <t>Retraining frequency (per year)</t>
  </si>
  <si>
    <t>Quarterly retraining as labeled outcome data (cook sequence → daypart hit/miss) accumulates from pilot stores</t>
  </si>
  <si>
    <t>Cost per retraining run ($)</t>
  </si>
  <si>
    <t>Incremental retraining on updated labeled data; shorter run than initial. ~2 hrs × $40/hr</t>
  </si>
  <si>
    <t>Training amortization window (months)</t>
  </si>
  <si>
    <t>Spread initial training cost across 18-month product life before next model version</t>
  </si>
  <si>
    <t>D · INSTRUMENTATION, EVAL &amp; OBSERVABILITY</t>
  </si>
  <si>
    <t>Override logging storage ($/user/mo)</t>
  </si>
  <si>
    <t>S3 / GCS storage for override logs (associate accepted/rejected ranking + outcome). ~200KB/store/day × 30 days = 6MB/store/mo = 0.006GB/store/mo. Source: AWS S3 standard storage $0.023 per GB/month (first 50TB)$0.022 per GB/month (next 450TB)$0.021 per GB/month (over 500TB)</t>
  </si>
  <si>
    <t>Observability platform monthly fee ($)</t>
  </si>
  <si>
    <t>Model monitoring: drift detection, accuracy tracking, latency alerts. Source: Arize AI / Fiddler AI starter tier ~$40/mo</t>
  </si>
  <si>
    <t>Eval — % calls auto-validated vs. daypart outcome</t>
  </si>
  <si>
    <t>10% of ranked calls matched back to actual daypart hit/miss outcome label for continuous accuracy tracking</t>
  </si>
  <si>
    <t>Eval — % outputs human-reviewed (ops spot-check)</t>
  </si>
  <si>
    <t>1% of ranking decisions reviewed by ops team for quality assurance</t>
  </si>
  <si>
    <t>Human review cost per decision ($)</t>
  </si>
  <si>
    <t>Ops analyst time: 5 min × $24/hr fully loaded. Higher than LLM eval because reviewer must check actual cook log vs. recommendation</t>
  </si>
  <si>
    <t>E · FIXED OVERHEAD (amortized)</t>
  </si>
  <si>
    <t>Cloud egress + misc ($/store/mo)</t>
  </si>
  <si>
    <t>Data transfer, logging egress, misc cloud overhead per store per month</t>
  </si>
  <si>
    <t>Feature store / data pipeline monthly fee ($)</t>
  </si>
  <si>
    <t>Managed feature store for real-time feature serving (cook time, inventory, daypart urgency). Source: AWS Feature Store serverless tier ~$60/mo fixed</t>
  </si>
  <si>
    <t>⚠  KEY DIFFERENCE FROM LLM/RAG MODEL:  No token costs. No vector DB. No embedding pipeline. Cost drivers are: inference compute per call (tabular ML, not generative), model hosting endpoint (fixed), retraining cadence (periodic, not continuous), and override instrumentation (the feedback loop IS the product moat).</t>
  </si>
  <si>
    <t>PER-CALL COST  ·  Computed from Tab 1 inputs</t>
  </si>
  <si>
    <t>One 'call' = one cook-sequence ranking request from one associate at one store</t>
  </si>
  <si>
    <t>Inference compute</t>
  </si>
  <si>
    <t>Inference cost per call = $per-1K-calls ÷ 1,000</t>
  </si>
  <si>
    <t>API gateway / routing</t>
  </si>
  <si>
    <t>API gateway cost per call</t>
  </si>
  <si>
    <t>Override log storage (per call)</t>
  </si>
  <si>
    <t>Monthly storage ÷ (stores × calls/user/day × 30 days)</t>
  </si>
  <si>
    <t>Eval — auto-validation (amortized)</t>
  </si>
  <si>
    <t>% validated × compute cost (outcome matching, not LLM judge)</t>
  </si>
  <si>
    <t>Eval — human spot-check (avg)</t>
  </si>
  <si>
    <t>% human-reviewed × $ per review</t>
  </si>
  <si>
    <t>Cloud egress (per call)</t>
  </si>
  <si>
    <t>Monthly egress per store ÷ calls/day × 30</t>
  </si>
  <si>
    <t>TOTAL per call</t>
  </si>
  <si>
    <t>Sum of all per-call cost components</t>
  </si>
  <si>
    <t>Note: Retraining cost and hosting endpoint are FIXED costs — they do NOT appear here. They are amortized in Tab 3 (Per-User) and fall per user as scale grows (Tab 4).</t>
  </si>
  <si>
    <t>PER-USER (STORE) COST  ·  Pilot scale: 50 stores</t>
  </si>
  <si>
    <t>Per-call × calls/store/month  +  amortized fixed costs across pilot store count</t>
  </si>
  <si>
    <t>VARIABLE COSTS (scale with calls)</t>
  </si>
  <si>
    <t>Per-call cost × calls/store/month</t>
  </si>
  <si>
    <t>Per-call total × calls/day × 30 days</t>
  </si>
  <si>
    <t>FIXED COSTS (amortized across pilot stores)</t>
  </si>
  <si>
    <t>Hosting endpoint amortized</t>
  </si>
  <si>
    <t>Fixed monthly endpoint fee ÷ pilot store count</t>
  </si>
  <si>
    <t>Observability platform amortized</t>
  </si>
  <si>
    <t>Fixed monitoring fee ÷ pilot stores</t>
  </si>
  <si>
    <t>Feature store amortized</t>
  </si>
  <si>
    <t>Fixed data pipeline fee ÷ pilot stores</t>
  </si>
  <si>
    <t>Retraining cost amortized (per store/mo)</t>
  </si>
  <si>
    <t>( Initial training ÷ amort. window + annual retraining/12 ) ÷ pilot stores</t>
  </si>
  <si>
    <t>TOTAL per store / month</t>
  </si>
  <si>
    <t>Variable + all amortized fixed costs</t>
  </si>
  <si>
    <t>COST PER STORE AT FIVE SCALE POINTS  ·  Fixed costs amortize; variable scales linearly with calls</t>
  </si>
  <si>
    <t>COST COMPONENT</t>
  </si>
  <si>
    <t>50
(Pilot)</t>
  </si>
  <si>
    <t>500
(Phase 2)</t>
  </si>
  <si>
    <t>1,300
(Regional)</t>
  </si>
  <si>
    <t>5,000
(Half chain)</t>
  </si>
  <si>
    <t>13,000
(Full chain)</t>
  </si>
  <si>
    <t>Variable: per-call × calls/store/mo</t>
  </si>
  <si>
    <t>Fixed: hosting endpoint / stores</t>
  </si>
  <si>
    <t>Fixed: observability / stores</t>
  </si>
  <si>
    <t>Fixed: feature store / stores</t>
  </si>
  <si>
    <t>Fixed: retraining amortized / stores</t>
  </si>
  <si>
    <t>TOTAL cost / store / month</t>
  </si>
  <si>
    <t>Curve shape</t>
  </si>
  <si>
    <t>Variable cost dominates at pilot (50 stores). Fixed costs become negligible by full-chain (13,000 stores). Cost per store converges toward variable-only floor. Unlike LLM: no token explosion — compute cost per call is flat and predictable.</t>
  </si>
  <si>
    <t>MARGIN ANALYSIS  ·  Internal tool: margin = write-off savings vs. total cost of ownership</t>
  </si>
  <si>
    <t>This is an internal 7-Eleven product — no SaaS price. 'Price' = monthly write-off savings per store attributable to the feature. Business case: savings must exceed TCO.</t>
  </si>
  <si>
    <t>Estimated monthly write-off savings per store ($)</t>
  </si>
  <si>
    <t>Assumption: 2 units/hr reduction × 4 peak hrs/day × 30 days × $0.75 avg item cost. Adjust when pilot data available.</t>
  </si>
  <si>
    <t>METRIC</t>
  </si>
  <si>
    <t>500</t>
  </si>
  <si>
    <t>1,300</t>
  </si>
  <si>
    <t>5,000</t>
  </si>
  <si>
    <t>Cost / store / month</t>
  </si>
  <si>
    <t>Savings / store / month</t>
  </si>
  <si>
    <t>Net benefit / store / month</t>
  </si>
  <si>
    <t>ROI %  (savings ÷ cost)</t>
  </si>
  <si>
    <t>Flag if cost &gt; savings</t>
  </si>
  <si>
    <t>SENSITIVITY ANALYSIS  ·  Which input moves cost most?  ·  At 1,300 stores (regional scale)</t>
  </si>
  <si>
    <t>Halve / double each key input; observe change in cost/store/month. Base = Tab 4 formula at 1,300 stores.</t>
  </si>
  <si>
    <t>INPUT VARIED</t>
  </si>
  <si>
    <t>BASE VALUE</t>
  </si>
  <si>
    <t>HALF VALUE</t>
  </si>
  <si>
    <t>DOUBLE VALUE</t>
  </si>
  <si>
    <t>INTERPRETATION</t>
  </si>
  <si>
    <t>Inference calls per store / day</t>
  </si>
  <si>
    <t>Most sensitive variable cost driver. Doubling calls = doubling variable cost. Driven by peak hours and decision frequency.</t>
  </si>
  <si>
    <t>Inference compute ($/1K calls)</t>
  </si>
  <si>
    <t>Low sensitivity: tabular ML inference is cheap. Even 2× price barely moves total.</t>
  </si>
  <si>
    <t>Hosting endpoint monthly fee ($)</t>
  </si>
  <si>
    <t>Negligible at 1,300 stores — fully amortized. Matters only at pilot scale (50 stores).</t>
  </si>
  <si>
    <t>Retraining cost per run ($)</t>
  </si>
  <si>
    <t>Low sensitivity at scale. Retraining is infrequent (quarterly) and amortized across stores.</t>
  </si>
  <si>
    <t>% human spot-check</t>
  </si>
  <si>
    <t>Human review is expensive per unit. Doubling spot-check rate meaningfully raises cost. Keep at 1% unless quality issues emerge.</t>
  </si>
  <si>
    <t>KEY TAKEAWAY: Call volume (decisions/day) is the dominant variable cost driver — not compute price. Unlike LLM products, there is no output token explosion risk. The main scale risk is adoption: if stores use the tool more than modeled (&gt;20 decisions/day), variable cost rises proportionally. Fixed costs (hosting, retraining) are negligible at regional/full-chain scale.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</si>
</sst>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0"/>
    <numFmt numFmtId="165" formatCode="#,##0.0000"/>
    <numFmt numFmtId="166" formatCode="#,##0.00000"/>
    <numFmt numFmtId="167" formatCode="0.0%"/>
    <numFmt numFmtId="168" formatCode="#,##0.0"/>
    <numFmt numFmtId="169" formatCode="\$#,##0.000000"/>
    <numFmt numFmtId="170" formatCode="\$#,##0.0000000"/>
    <numFmt numFmtId="171" formatCode="\$#,##0.0000000000"/>
    <numFmt numFmtId="172" formatCode="\$#,##0.00"/>
    <numFmt numFmtId="173" formatCode="\$#,##0.0000"/>
    <numFmt numFmtId="174" formatCode="\$#,##0"/>
  </numFmts>
  <fonts count="14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sz val="10.0"/>
      <color rgb="FF0070C0"/>
      <name val="Arial"/>
    </font>
    <font>
      <i/>
      <sz val="9.0"/>
      <color rgb="FF595959"/>
      <name val="Arial"/>
    </font>
    <font>
      <b/>
      <sz val="10.0"/>
      <color rgb="FF7F3F00"/>
      <name val="Arial"/>
    </font>
    <font>
      <b/>
      <sz val="12.0"/>
      <color rgb="FFFFFFFF"/>
      <name val="Arial"/>
    </font>
    <font>
      <b/>
      <sz val="10.0"/>
      <color rgb="FF000000"/>
      <name val="Arial"/>
    </font>
    <font>
      <b/>
      <sz val="9.0"/>
      <color theme="1"/>
      <name val="Arial"/>
    </font>
    <font>
      <b/>
      <sz val="9.0"/>
      <color rgb="FFFFFFFF"/>
      <name val="Arial"/>
    </font>
    <font>
      <i/>
      <sz val="9.0"/>
      <color theme="1"/>
      <name val="Arial"/>
    </font>
    <font>
      <b/>
      <sz val="10.0"/>
      <color rgb="FF1F386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left style="thin">
        <color rgb="FFB8B8B8"/>
      </left>
      <right style="thin">
        <color rgb="FFB8B8B8"/>
      </right>
      <top style="medium">
        <color rgb="FF1F3864"/>
      </top>
      <bottom style="medium">
        <color rgb="FF1F3864"/>
      </bottom>
    </border>
    <border>
      <left style="thin">
        <color rgb="FFB8B8B8"/>
      </left>
      <top style="thin">
        <color rgb="FFB8B8B8"/>
      </top>
      <bottom style="thin">
        <color rgb="FFB8B8B8"/>
      </bottom>
    </border>
    <border>
      <top style="thin">
        <color rgb="FFB8B8B8"/>
      </top>
      <bottom style="thin">
        <color rgb="FFB8B8B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4" fontId="5" numFmtId="3" xfId="0" applyAlignment="1" applyBorder="1" applyFill="1" applyFont="1" applyNumberFormat="1">
      <alignment horizontal="right" readingOrder="0" shrinkToFit="0" vertical="center" wrapText="0"/>
    </xf>
    <xf borderId="4" fillId="0" fontId="6" numFmtId="0" xfId="0" applyAlignment="1" applyBorder="1" applyFont="1">
      <alignment horizontal="left" readingOrder="0" shrinkToFit="0" vertical="center" wrapText="1"/>
    </xf>
    <xf borderId="4" fillId="4" fontId="5" numFmtId="3" xfId="0" applyAlignment="1" applyBorder="1" applyFont="1" applyNumberFormat="1">
      <alignment horizontal="right" shrinkToFit="0" vertical="center" wrapText="0"/>
    </xf>
    <xf borderId="4" fillId="0" fontId="6" numFmtId="0" xfId="0" applyAlignment="1" applyBorder="1" applyFont="1">
      <alignment horizontal="left" shrinkToFit="0" vertical="center" wrapText="1"/>
    </xf>
    <xf borderId="4" fillId="4" fontId="5" numFmtId="164" xfId="0" applyAlignment="1" applyBorder="1" applyFont="1" applyNumberFormat="1">
      <alignment horizontal="right" shrinkToFit="0" vertical="center" wrapText="0"/>
    </xf>
    <xf borderId="4" fillId="4" fontId="5" numFmtId="165" xfId="0" applyAlignment="1" applyBorder="1" applyFont="1" applyNumberFormat="1">
      <alignment horizontal="right" shrinkToFit="0" vertical="center" wrapText="0"/>
    </xf>
    <xf borderId="4" fillId="4" fontId="5" numFmtId="166" xfId="0" applyAlignment="1" applyBorder="1" applyFont="1" applyNumberFormat="1">
      <alignment horizontal="right" shrinkToFit="0" vertical="center" wrapText="0"/>
    </xf>
    <xf borderId="4" fillId="4" fontId="5" numFmtId="0" xfId="0" applyAlignment="1" applyBorder="1" applyFont="1">
      <alignment horizontal="right" readingOrder="0" shrinkToFit="0" vertical="center" wrapText="0"/>
    </xf>
    <xf borderId="4" fillId="4" fontId="5" numFmtId="167" xfId="0" applyAlignment="1" applyBorder="1" applyFont="1" applyNumberFormat="1">
      <alignment horizontal="right" shrinkToFit="0" vertical="center" wrapText="0"/>
    </xf>
    <xf borderId="4" fillId="4" fontId="5" numFmtId="9" xfId="0" applyAlignment="1" applyBorder="1" applyFont="1" applyNumberFormat="1">
      <alignment horizontal="right" readingOrder="0" shrinkToFit="0" vertical="center" wrapText="0"/>
    </xf>
    <xf borderId="4" fillId="4" fontId="5" numFmtId="168" xfId="0" applyAlignment="1" applyBorder="1" applyFont="1" applyNumberFormat="1">
      <alignment horizontal="right" shrinkToFit="0" vertical="center" wrapText="0"/>
    </xf>
    <xf borderId="1" fillId="5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0" fontId="4" numFmtId="169" xfId="0" applyAlignment="1" applyBorder="1" applyFont="1" applyNumberFormat="1">
      <alignment horizontal="right" shrinkToFit="0" vertical="center" wrapText="0"/>
    </xf>
    <xf borderId="4" fillId="0" fontId="4" numFmtId="170" xfId="0" applyAlignment="1" applyBorder="1" applyFont="1" applyNumberFormat="1">
      <alignment horizontal="right" shrinkToFit="0" vertical="center" wrapText="0"/>
    </xf>
    <xf borderId="4" fillId="0" fontId="4" numFmtId="171" xfId="0" applyAlignment="1" applyBorder="1" applyFont="1" applyNumberFormat="1">
      <alignment horizontal="right" shrinkToFit="0" vertical="center" wrapText="0"/>
    </xf>
    <xf borderId="4" fillId="0" fontId="4" numFmtId="172" xfId="0" applyAlignment="1" applyBorder="1" applyFont="1" applyNumberFormat="1">
      <alignment horizontal="right" shrinkToFit="0" vertical="center" wrapText="0"/>
    </xf>
    <xf borderId="4" fillId="0" fontId="4" numFmtId="173" xfId="0" applyAlignment="1" applyBorder="1" applyFont="1" applyNumberFormat="1">
      <alignment horizontal="right"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5" fillId="6" fontId="9" numFmtId="173" xfId="0" applyAlignment="1" applyBorder="1" applyFont="1" applyNumberFormat="1">
      <alignment horizontal="right" shrinkToFit="0" vertical="center" wrapText="0"/>
    </xf>
    <xf borderId="4" fillId="6" fontId="10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0" vertical="bottom" wrapText="1"/>
    </xf>
    <xf borderId="7" fillId="0" fontId="2" numFmtId="0" xfId="0" applyBorder="1" applyFont="1"/>
    <xf borderId="4" fillId="4" fontId="5" numFmtId="174" xfId="0" applyAlignment="1" applyBorder="1" applyFont="1" applyNumberFormat="1">
      <alignment horizontal="right" shrinkToFit="0" vertical="center" wrapText="0"/>
    </xf>
    <xf borderId="6" fillId="0" fontId="12" numFmtId="0" xfId="0" applyAlignment="1" applyBorder="1" applyFont="1">
      <alignment horizontal="left" shrinkToFit="0" vertical="center" wrapText="1"/>
    </xf>
    <xf borderId="5" fillId="6" fontId="9" numFmtId="172" xfId="0" applyAlignment="1" applyBorder="1" applyFont="1" applyNumberFormat="1">
      <alignment horizontal="right" shrinkToFit="0" vertical="center" wrapText="0"/>
    </xf>
    <xf borderId="4" fillId="7" fontId="9" numFmtId="167" xfId="0" applyAlignment="1" applyBorder="1" applyFill="1" applyFont="1" applyNumberFormat="1">
      <alignment horizontal="right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left" shrinkToFit="0" vertical="bottom" wrapText="1"/>
    </xf>
    <xf borderId="1" fillId="7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18.0"/>
    <col customWidth="1" min="3" max="3" width="52.0"/>
    <col customWidth="1" min="4" max="26" width="8.71"/>
  </cols>
  <sheetData>
    <row r="1" ht="34.5" customHeight="1">
      <c r="A1" s="1" t="s">
        <v>0</v>
      </c>
      <c r="B1" s="2"/>
      <c r="C1" s="3"/>
    </row>
    <row r="2" ht="19.5" customHeight="1">
      <c r="A2" s="4" t="s">
        <v>1</v>
      </c>
      <c r="B2" s="2"/>
      <c r="C2" s="3"/>
    </row>
    <row r="3">
      <c r="A3" s="5" t="s">
        <v>2</v>
      </c>
      <c r="B3" s="5" t="s">
        <v>3</v>
      </c>
      <c r="C3" s="5" t="s">
        <v>4</v>
      </c>
    </row>
    <row r="4" ht="15.0" customHeight="1">
      <c r="A4" s="6" t="s">
        <v>5</v>
      </c>
      <c r="B4" s="2"/>
      <c r="C4" s="3"/>
    </row>
    <row r="5">
      <c r="A5" s="7" t="s">
        <v>6</v>
      </c>
      <c r="B5" s="8">
        <v>50.0</v>
      </c>
      <c r="C5" s="9" t="s">
        <v>7</v>
      </c>
    </row>
    <row r="6">
      <c r="A6" s="7" t="s">
        <v>8</v>
      </c>
      <c r="B6" s="8">
        <v>12.0</v>
      </c>
      <c r="C6" s="9" t="s">
        <v>9</v>
      </c>
    </row>
    <row r="7">
      <c r="A7" s="7" t="s">
        <v>10</v>
      </c>
      <c r="B7" s="8">
        <v>12.0</v>
      </c>
      <c r="C7" s="9" t="s">
        <v>11</v>
      </c>
    </row>
    <row r="8">
      <c r="A8" s="7" t="s">
        <v>12</v>
      </c>
      <c r="B8" s="10">
        <v>50.0</v>
      </c>
      <c r="C8" s="11" t="s">
        <v>13</v>
      </c>
    </row>
    <row r="9">
      <c r="A9" s="7" t="s">
        <v>14</v>
      </c>
      <c r="B9" s="8">
        <v>8.0</v>
      </c>
      <c r="C9" s="9" t="s">
        <v>15</v>
      </c>
    </row>
    <row r="10" ht="15.0" customHeight="1">
      <c r="A10" s="6" t="s">
        <v>16</v>
      </c>
      <c r="B10" s="2"/>
      <c r="C10" s="3"/>
    </row>
    <row r="11">
      <c r="A11" s="7" t="s">
        <v>17</v>
      </c>
      <c r="B11" s="12">
        <v>0.004</v>
      </c>
      <c r="C11" s="11" t="s">
        <v>18</v>
      </c>
    </row>
    <row r="12">
      <c r="A12" s="7" t="s">
        <v>19</v>
      </c>
      <c r="B12" s="10">
        <v>150.0</v>
      </c>
      <c r="C12" s="11" t="s">
        <v>20</v>
      </c>
    </row>
    <row r="13">
      <c r="A13" s="7" t="s">
        <v>21</v>
      </c>
      <c r="B13" s="13">
        <v>0.0035</v>
      </c>
      <c r="C13" s="11" t="s">
        <v>22</v>
      </c>
    </row>
    <row r="14" ht="15.0" customHeight="1">
      <c r="A14" s="6" t="s">
        <v>23</v>
      </c>
      <c r="B14" s="2"/>
      <c r="C14" s="3"/>
    </row>
    <row r="15">
      <c r="A15" s="7" t="s">
        <v>24</v>
      </c>
      <c r="B15" s="10">
        <v>200.0</v>
      </c>
      <c r="C15" s="11" t="s">
        <v>25</v>
      </c>
    </row>
    <row r="16">
      <c r="A16" s="7" t="s">
        <v>26</v>
      </c>
      <c r="B16" s="10">
        <v>4.0</v>
      </c>
      <c r="C16" s="11" t="s">
        <v>27</v>
      </c>
    </row>
    <row r="17">
      <c r="A17" s="7" t="s">
        <v>28</v>
      </c>
      <c r="B17" s="10">
        <v>80.0</v>
      </c>
      <c r="C17" s="11" t="s">
        <v>29</v>
      </c>
    </row>
    <row r="18">
      <c r="A18" s="7" t="s">
        <v>30</v>
      </c>
      <c r="B18" s="10">
        <v>18.0</v>
      </c>
      <c r="C18" s="11" t="s">
        <v>31</v>
      </c>
    </row>
    <row r="19" ht="15.0" customHeight="1">
      <c r="A19" s="6" t="s">
        <v>32</v>
      </c>
      <c r="B19" s="2"/>
      <c r="C19" s="3"/>
    </row>
    <row r="20">
      <c r="A20" s="7" t="s">
        <v>33</v>
      </c>
      <c r="B20" s="14">
        <f>0.023*0.006</f>
        <v>0.000138</v>
      </c>
      <c r="C20" s="9" t="s">
        <v>34</v>
      </c>
    </row>
    <row r="21" ht="15.75" customHeight="1">
      <c r="A21" s="7" t="s">
        <v>35</v>
      </c>
      <c r="B21" s="15">
        <v>40.0</v>
      </c>
      <c r="C21" s="11" t="s">
        <v>36</v>
      </c>
    </row>
    <row r="22" ht="15.75" customHeight="1">
      <c r="A22" s="7" t="s">
        <v>37</v>
      </c>
      <c r="B22" s="16">
        <v>0.1</v>
      </c>
      <c r="C22" s="11" t="s">
        <v>38</v>
      </c>
    </row>
    <row r="23" ht="15.75" customHeight="1">
      <c r="A23" s="7" t="s">
        <v>39</v>
      </c>
      <c r="B23" s="17">
        <v>0.01</v>
      </c>
      <c r="C23" s="11" t="s">
        <v>40</v>
      </c>
    </row>
    <row r="24" ht="15.75" customHeight="1">
      <c r="A24" s="7" t="s">
        <v>41</v>
      </c>
      <c r="B24" s="10">
        <v>2.0</v>
      </c>
      <c r="C24" s="11" t="s">
        <v>42</v>
      </c>
    </row>
    <row r="25" ht="15.0" customHeight="1">
      <c r="A25" s="6" t="s">
        <v>43</v>
      </c>
      <c r="B25" s="2"/>
      <c r="C25" s="3"/>
    </row>
    <row r="26" ht="15.75" customHeight="1">
      <c r="A26" s="7" t="s">
        <v>44</v>
      </c>
      <c r="B26" s="18">
        <v>0.5</v>
      </c>
      <c r="C26" s="11" t="s">
        <v>45</v>
      </c>
    </row>
    <row r="27" ht="15.75" customHeight="1">
      <c r="A27" s="7" t="s">
        <v>46</v>
      </c>
      <c r="B27" s="10">
        <v>60.0</v>
      </c>
      <c r="C27" s="11" t="s">
        <v>47</v>
      </c>
    </row>
    <row r="28" ht="60.0" customHeight="1">
      <c r="A28" s="19" t="s">
        <v>48</v>
      </c>
      <c r="B28" s="2"/>
      <c r="C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2:C2"/>
    <mergeCell ref="A4:C4"/>
    <mergeCell ref="A10:C10"/>
    <mergeCell ref="A14:C14"/>
    <mergeCell ref="A19:C19"/>
    <mergeCell ref="A25:C25"/>
    <mergeCell ref="A28:C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46.0"/>
    <col customWidth="1" min="4" max="26" width="8.71"/>
  </cols>
  <sheetData>
    <row r="1" ht="34.5" customHeight="1">
      <c r="A1" s="20" t="s">
        <v>49</v>
      </c>
      <c r="B1" s="2"/>
      <c r="C1" s="3"/>
    </row>
    <row r="2" ht="15.0" customHeight="1">
      <c r="A2" s="4" t="s">
        <v>50</v>
      </c>
      <c r="B2" s="2"/>
      <c r="C2" s="3"/>
    </row>
    <row r="3">
      <c r="A3" s="5" t="s">
        <v>2</v>
      </c>
      <c r="B3" s="5" t="s">
        <v>3</v>
      </c>
      <c r="C3" s="5" t="s">
        <v>4</v>
      </c>
    </row>
    <row r="4">
      <c r="A4" s="7" t="s">
        <v>51</v>
      </c>
      <c r="B4" s="21">
        <f>'1. Inputs'!B11/1000</f>
        <v>0.000004</v>
      </c>
      <c r="C4" s="11" t="s">
        <v>52</v>
      </c>
    </row>
    <row r="5">
      <c r="A5" s="7" t="s">
        <v>53</v>
      </c>
      <c r="B5" s="22">
        <f>'1. Inputs'!B13/1000</f>
        <v>0.0000035</v>
      </c>
      <c r="C5" s="11" t="s">
        <v>54</v>
      </c>
    </row>
    <row r="6">
      <c r="A6" s="7" t="s">
        <v>55</v>
      </c>
      <c r="B6" s="23">
        <f>'1. Inputs'!B20/('1. Inputs'!B8*'1. Inputs'!B7*30)</f>
        <v>0.000000007666666667</v>
      </c>
      <c r="C6" s="11" t="s">
        <v>56</v>
      </c>
    </row>
    <row r="7">
      <c r="A7" s="7" t="s">
        <v>57</v>
      </c>
      <c r="B7" s="22">
        <f>'1. Inputs'!B22*('1. Inputs'!B11/1000)</f>
        <v>0.0000004</v>
      </c>
      <c r="C7" s="11" t="s">
        <v>58</v>
      </c>
    </row>
    <row r="8">
      <c r="A8" s="7" t="s">
        <v>59</v>
      </c>
      <c r="B8" s="24">
        <f>'1. Inputs'!B23*'1. Inputs'!B24</f>
        <v>0.02</v>
      </c>
      <c r="C8" s="11" t="s">
        <v>60</v>
      </c>
    </row>
    <row r="9">
      <c r="A9" s="7" t="s">
        <v>61</v>
      </c>
      <c r="B9" s="25">
        <f>'1. Inputs'!B26/('1. Inputs'!B7*30)</f>
        <v>0.001388888889</v>
      </c>
      <c r="C9" s="11" t="s">
        <v>62</v>
      </c>
    </row>
    <row r="10">
      <c r="A10" s="26" t="s">
        <v>63</v>
      </c>
      <c r="B10" s="27">
        <f>SUM(B4:B9)</f>
        <v>0.02139679656</v>
      </c>
      <c r="C10" s="28" t="s">
        <v>64</v>
      </c>
    </row>
    <row r="11" ht="13.5" customHeight="1"/>
    <row r="12" ht="39.75" customHeight="1">
      <c r="A12" s="19" t="s">
        <v>65</v>
      </c>
      <c r="B12" s="2"/>
      <c r="C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12:C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20.0"/>
    <col customWidth="1" min="3" max="3" width="46.0"/>
    <col customWidth="1" min="4" max="26" width="8.71"/>
  </cols>
  <sheetData>
    <row r="1" ht="34.5" customHeight="1">
      <c r="A1" s="20" t="s">
        <v>66</v>
      </c>
      <c r="B1" s="2"/>
      <c r="C1" s="3"/>
    </row>
    <row r="2" ht="15.0" customHeight="1">
      <c r="A2" s="4" t="s">
        <v>67</v>
      </c>
      <c r="B2" s="2"/>
      <c r="C2" s="3"/>
    </row>
    <row r="3">
      <c r="A3" s="5" t="s">
        <v>2</v>
      </c>
      <c r="B3" s="5" t="s">
        <v>3</v>
      </c>
      <c r="C3" s="5" t="s">
        <v>4</v>
      </c>
    </row>
    <row r="4" ht="15.0" customHeight="1">
      <c r="A4" s="6" t="s">
        <v>68</v>
      </c>
      <c r="B4" s="2"/>
      <c r="C4" s="3"/>
    </row>
    <row r="5">
      <c r="A5" s="7" t="s">
        <v>69</v>
      </c>
      <c r="B5" s="25">
        <f>'2. Per-call'!B10*'1. Inputs'!B7*30</f>
        <v>7.70284676</v>
      </c>
      <c r="C5" s="11" t="s">
        <v>70</v>
      </c>
    </row>
    <row r="6" ht="15.0" customHeight="1">
      <c r="A6" s="6" t="s">
        <v>71</v>
      </c>
      <c r="B6" s="2"/>
      <c r="C6" s="3"/>
    </row>
    <row r="7">
      <c r="A7" s="7" t="s">
        <v>72</v>
      </c>
      <c r="B7" s="25">
        <f>'1. Inputs'!B12/'1. Inputs'!B8</f>
        <v>3</v>
      </c>
      <c r="C7" s="11" t="s">
        <v>73</v>
      </c>
    </row>
    <row r="8">
      <c r="A8" s="7" t="s">
        <v>74</v>
      </c>
      <c r="B8" s="25">
        <f>'1. Inputs'!B21/'1. Inputs'!B8</f>
        <v>0.8</v>
      </c>
      <c r="C8" s="11" t="s">
        <v>75</v>
      </c>
    </row>
    <row r="9">
      <c r="A9" s="7" t="s">
        <v>76</v>
      </c>
      <c r="B9" s="25">
        <f>'1. Inputs'!B27/'1. Inputs'!B8</f>
        <v>1.2</v>
      </c>
      <c r="C9" s="11" t="s">
        <v>77</v>
      </c>
    </row>
    <row r="10">
      <c r="A10" s="7" t="s">
        <v>78</v>
      </c>
      <c r="B10" s="25">
        <f>('1. Inputs'!B15/'1. Inputs'!B17+'1. Inputs'!B16*'1. Inputs'!B18/12)/'1. Inputs'!B8</f>
        <v>0.17</v>
      </c>
      <c r="C10" s="11" t="s">
        <v>79</v>
      </c>
    </row>
    <row r="11">
      <c r="A11" s="26" t="s">
        <v>80</v>
      </c>
      <c r="B11" s="27">
        <f>B5+SUM(B7:B10)</f>
        <v>12.87284676</v>
      </c>
      <c r="C11" s="28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4:C4"/>
    <mergeCell ref="A6:C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6" width="16.0"/>
    <col customWidth="1" min="7" max="26" width="8.71"/>
  </cols>
  <sheetData>
    <row r="1" ht="34.5" customHeight="1">
      <c r="A1" s="20" t="s">
        <v>82</v>
      </c>
      <c r="B1" s="2"/>
      <c r="C1" s="2"/>
      <c r="D1" s="2"/>
      <c r="E1" s="2"/>
      <c r="F1" s="3"/>
    </row>
    <row r="2">
      <c r="A2" s="5" t="s">
        <v>83</v>
      </c>
      <c r="B2" s="29" t="s">
        <v>84</v>
      </c>
      <c r="C2" s="29" t="s">
        <v>85</v>
      </c>
      <c r="D2" s="29" t="s">
        <v>86</v>
      </c>
      <c r="E2" s="29" t="s">
        <v>87</v>
      </c>
      <c r="F2" s="29" t="s">
        <v>88</v>
      </c>
    </row>
    <row r="3">
      <c r="A3" s="7" t="s">
        <v>89</v>
      </c>
      <c r="B3" s="25">
        <f>'2. Per-call'!B10*'1. Inputs'!B7*30</f>
        <v>7.70284676</v>
      </c>
      <c r="C3" s="25">
        <f>'2. Per-call'!B10*'1. Inputs'!B7*30</f>
        <v>7.70284676</v>
      </c>
      <c r="D3" s="25">
        <f>'2. Per-call'!B10*'1. Inputs'!B7*30</f>
        <v>7.70284676</v>
      </c>
      <c r="E3" s="25">
        <f>'2. Per-call'!B10*'1. Inputs'!B7*30</f>
        <v>7.70284676</v>
      </c>
      <c r="F3" s="25">
        <f>'2. Per-call'!B10*'1. Inputs'!B7*30</f>
        <v>7.70284676</v>
      </c>
    </row>
    <row r="4">
      <c r="A4" s="7" t="s">
        <v>90</v>
      </c>
      <c r="B4" s="25">
        <f>'1. Inputs'!B12/50</f>
        <v>3</v>
      </c>
      <c r="C4" s="25">
        <f>'1. Inputs'!B12/500</f>
        <v>0.3</v>
      </c>
      <c r="D4" s="25">
        <f>'1. Inputs'!B12/1300</f>
        <v>0.1153846154</v>
      </c>
      <c r="E4" s="25">
        <f>'1. Inputs'!B12/5000</f>
        <v>0.03</v>
      </c>
      <c r="F4" s="25">
        <f>'1. Inputs'!B12/13000</f>
        <v>0.01153846154</v>
      </c>
    </row>
    <row r="5">
      <c r="A5" s="7" t="s">
        <v>91</v>
      </c>
      <c r="B5" s="25">
        <f>'1. Inputs'!B21/50</f>
        <v>0.8</v>
      </c>
      <c r="C5" s="25">
        <f>'1. Inputs'!B21/500</f>
        <v>0.08</v>
      </c>
      <c r="D5" s="25">
        <f>'1. Inputs'!B21/1300</f>
        <v>0.03076923077</v>
      </c>
      <c r="E5" s="25">
        <f>'1. Inputs'!B21/5000</f>
        <v>0.008</v>
      </c>
      <c r="F5" s="25">
        <f>'1. Inputs'!B21/13000</f>
        <v>0.003076923077</v>
      </c>
    </row>
    <row r="6">
      <c r="A6" s="7" t="s">
        <v>92</v>
      </c>
      <c r="B6" s="25">
        <f>'1. Inputs'!B27/50</f>
        <v>1.2</v>
      </c>
      <c r="C6" s="25">
        <f>'1. Inputs'!B27/500</f>
        <v>0.12</v>
      </c>
      <c r="D6" s="25">
        <f>'1. Inputs'!B27/1300</f>
        <v>0.04615384615</v>
      </c>
      <c r="E6" s="25">
        <f>'1. Inputs'!B27/5000</f>
        <v>0.012</v>
      </c>
      <c r="F6" s="25">
        <f>'1. Inputs'!B27/13000</f>
        <v>0.004615384615</v>
      </c>
    </row>
    <row r="7">
      <c r="A7" s="7" t="s">
        <v>93</v>
      </c>
      <c r="B7" s="25">
        <f>('1. Inputs'!B15/'1. Inputs'!B17+'1. Inputs'!B16*'1. Inputs'!B18/12)/50</f>
        <v>0.17</v>
      </c>
      <c r="C7" s="25">
        <f>('1. Inputs'!B15/'1. Inputs'!B17+'1. Inputs'!B16*'1. Inputs'!B18/12)/500</f>
        <v>0.017</v>
      </c>
      <c r="D7" s="25">
        <f>('1. Inputs'!B15/'1. Inputs'!B17+'1. Inputs'!B16*'1. Inputs'!B18/12)/1300</f>
        <v>0.006538461538</v>
      </c>
      <c r="E7" s="25">
        <f>('1. Inputs'!B15/'1. Inputs'!B17+'1. Inputs'!B16*'1. Inputs'!B18/12)/5000</f>
        <v>0.0017</v>
      </c>
      <c r="F7" s="25">
        <f>('1. Inputs'!B15/'1. Inputs'!B17+'1. Inputs'!B16*'1. Inputs'!B18/12)/13000</f>
        <v>0.0006538461538</v>
      </c>
    </row>
    <row r="8">
      <c r="A8" s="26" t="s">
        <v>94</v>
      </c>
      <c r="B8" s="27">
        <f t="shared" ref="B8:F8" si="1">SUM(B3:B7)</f>
        <v>12.87284676</v>
      </c>
      <c r="C8" s="27">
        <f t="shared" si="1"/>
        <v>8.21984676</v>
      </c>
      <c r="D8" s="27">
        <f t="shared" si="1"/>
        <v>7.901692914</v>
      </c>
      <c r="E8" s="27">
        <f t="shared" si="1"/>
        <v>7.75454676</v>
      </c>
      <c r="F8" s="27">
        <f t="shared" si="1"/>
        <v>7.722731375</v>
      </c>
    </row>
    <row r="9" ht="39.75" customHeight="1">
      <c r="A9" s="30" t="s">
        <v>95</v>
      </c>
      <c r="B9" s="31" t="s">
        <v>96</v>
      </c>
      <c r="C9" s="32"/>
      <c r="D9" s="32"/>
      <c r="E9" s="32"/>
      <c r="F9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B9:F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6" width="16.0"/>
    <col customWidth="1" min="7" max="26" width="8.71"/>
  </cols>
  <sheetData>
    <row r="1" ht="34.5" customHeight="1">
      <c r="A1" s="20" t="s">
        <v>97</v>
      </c>
      <c r="B1" s="2"/>
      <c r="C1" s="2"/>
      <c r="D1" s="2"/>
      <c r="E1" s="2"/>
      <c r="F1" s="3"/>
    </row>
    <row r="2" ht="49.5" customHeight="1">
      <c r="A2" s="19" t="s">
        <v>98</v>
      </c>
      <c r="B2" s="2"/>
      <c r="C2" s="2"/>
      <c r="D2" s="2"/>
      <c r="E2" s="2"/>
      <c r="F2" s="3"/>
    </row>
    <row r="3" ht="42.75" customHeight="1">
      <c r="A3" s="30" t="s">
        <v>99</v>
      </c>
      <c r="B3" s="33">
        <v>180.0</v>
      </c>
      <c r="C3" s="34" t="s">
        <v>100</v>
      </c>
      <c r="D3" s="32"/>
      <c r="E3" s="32"/>
      <c r="F3" s="32"/>
    </row>
    <row r="4">
      <c r="A4" s="5" t="s">
        <v>101</v>
      </c>
      <c r="B4" s="29" t="s">
        <v>84</v>
      </c>
      <c r="C4" s="29" t="s">
        <v>102</v>
      </c>
      <c r="D4" s="29" t="s">
        <v>103</v>
      </c>
      <c r="E4" s="29" t="s">
        <v>104</v>
      </c>
      <c r="F4" s="29" t="s">
        <v>88</v>
      </c>
    </row>
    <row r="5">
      <c r="A5" s="7" t="s">
        <v>105</v>
      </c>
      <c r="B5" s="24">
        <f>'2. Per-call'!B10*'1. Inputs'!B7*30+'1. Inputs'!B12/50+'1. Inputs'!B21/50+'1. Inputs'!B27/50+('1. Inputs'!B15/'1. Inputs'!B17+'1. Inputs'!B16*'1. Inputs'!B18/12)/50</f>
        <v>12.87284676</v>
      </c>
      <c r="C5" s="24">
        <f>'2. Per-call'!B10*'1. Inputs'!B7*30+'1. Inputs'!B12/500+'1. Inputs'!B21/500+'1. Inputs'!B27/500+('1. Inputs'!B15/'1. Inputs'!B17+'1. Inputs'!B16*'1. Inputs'!B18/12)/500</f>
        <v>8.21984676</v>
      </c>
      <c r="D5" s="24">
        <f>'2. Per-call'!B10*'1. Inputs'!B7*30+'1. Inputs'!B12/1300+'1. Inputs'!B21/1300+'1. Inputs'!B27/1300+('1. Inputs'!B15/'1. Inputs'!B17+'1. Inputs'!B16*'1. Inputs'!B18/12)/1300</f>
        <v>7.901692914</v>
      </c>
      <c r="E5" s="24">
        <f>'2. Per-call'!B10*'1. Inputs'!B7*30+'1. Inputs'!B12/5000+'1. Inputs'!B21/5000+'1. Inputs'!B27/5000+('1. Inputs'!B15/'1. Inputs'!B17+'1. Inputs'!B16*'1. Inputs'!B18/12)/5000</f>
        <v>7.75454676</v>
      </c>
      <c r="F5" s="24">
        <f>'2. Per-call'!B10*'1. Inputs'!B7*30+'1. Inputs'!B12/13000+'1. Inputs'!B21/13000+'1. Inputs'!B27/13000+('1. Inputs'!B15/'1. Inputs'!B17+'1. Inputs'!B16*'1. Inputs'!B18/12)/13000</f>
        <v>7.722731375</v>
      </c>
    </row>
    <row r="6">
      <c r="A6" s="7" t="s">
        <v>106</v>
      </c>
      <c r="B6" s="24">
        <f t="shared" ref="B6:F6" si="1">$B$3</f>
        <v>180</v>
      </c>
      <c r="C6" s="24">
        <f t="shared" si="1"/>
        <v>180</v>
      </c>
      <c r="D6" s="24">
        <f t="shared" si="1"/>
        <v>180</v>
      </c>
      <c r="E6" s="24">
        <f t="shared" si="1"/>
        <v>180</v>
      </c>
      <c r="F6" s="24">
        <f t="shared" si="1"/>
        <v>180</v>
      </c>
    </row>
    <row r="7">
      <c r="A7" s="30" t="s">
        <v>107</v>
      </c>
      <c r="B7" s="35">
        <f t="shared" ref="B7:F7" si="2">B6-B5</f>
        <v>167.1271532</v>
      </c>
      <c r="C7" s="35">
        <f t="shared" si="2"/>
        <v>171.7801532</v>
      </c>
      <c r="D7" s="35">
        <f t="shared" si="2"/>
        <v>172.0983071</v>
      </c>
      <c r="E7" s="35">
        <f t="shared" si="2"/>
        <v>172.2454532</v>
      </c>
      <c r="F7" s="35">
        <f t="shared" si="2"/>
        <v>172.2772686</v>
      </c>
    </row>
    <row r="8">
      <c r="A8" s="7" t="s">
        <v>108</v>
      </c>
      <c r="B8" s="36">
        <f t="shared" ref="B8:F8" si="3">B6/B5-1</f>
        <v>12.98292106</v>
      </c>
      <c r="C8" s="36">
        <f t="shared" si="3"/>
        <v>20.89821845</v>
      </c>
      <c r="D8" s="36">
        <f t="shared" si="3"/>
        <v>21.77992855</v>
      </c>
      <c r="E8" s="36">
        <f t="shared" si="3"/>
        <v>22.21218835</v>
      </c>
      <c r="F8" s="36">
        <f t="shared" si="3"/>
        <v>22.30781575</v>
      </c>
    </row>
    <row r="9">
      <c r="A9" s="7" t="s">
        <v>109</v>
      </c>
      <c r="B9" s="37" t="str">
        <f t="shared" ref="B9:F9" si="4">IF(B5&gt;B6,"⚠ COST EXCEEDS SAVINGS","✓ Positive ROI")</f>
        <v>✓ Positive ROI</v>
      </c>
      <c r="C9" s="37" t="str">
        <f t="shared" si="4"/>
        <v>✓ Positive ROI</v>
      </c>
      <c r="D9" s="37" t="str">
        <f t="shared" si="4"/>
        <v>✓ Positive ROI</v>
      </c>
      <c r="E9" s="37" t="str">
        <f t="shared" si="4"/>
        <v>✓ Positive ROI</v>
      </c>
      <c r="F9" s="37" t="str">
        <f t="shared" si="4"/>
        <v>✓ Positive ROI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C3:F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4" width="16.0"/>
    <col customWidth="1" min="5" max="5" width="46.0"/>
    <col customWidth="1" min="6" max="26" width="8.71"/>
  </cols>
  <sheetData>
    <row r="1" ht="34.5" customHeight="1">
      <c r="A1" s="20" t="s">
        <v>110</v>
      </c>
      <c r="B1" s="2"/>
      <c r="C1" s="2"/>
      <c r="D1" s="2"/>
      <c r="E1" s="3"/>
    </row>
    <row r="2" ht="15.0" customHeight="1">
      <c r="A2" s="4" t="s">
        <v>111</v>
      </c>
      <c r="B2" s="2"/>
      <c r="C2" s="2"/>
      <c r="D2" s="2"/>
      <c r="E2" s="3"/>
    </row>
    <row r="3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</row>
    <row r="4" ht="36.0" customHeight="1">
      <c r="A4" s="7" t="s">
        <v>117</v>
      </c>
      <c r="B4" s="25">
        <f>'1. Inputs'!B7</f>
        <v>12</v>
      </c>
      <c r="C4" s="25">
        <f>('2. Per-call'!B10*('1. Inputs'!B7/2)*30)+'1. Inputs'!B12/1300+'1. Inputs'!B21/1300+'1. Inputs'!B27/1300+('1. Inputs'!B15/'1. Inputs'!B17+'1. Inputs'!B16*'1. Inputs'!B18/12)/1300</f>
        <v>4.050269534</v>
      </c>
      <c r="D4" s="25">
        <f>('2. Per-call'!B10*('1. Inputs'!B7*2)*30)+'1. Inputs'!B12/1300+'1. Inputs'!B21/1300+'1. Inputs'!B27/1300+('1. Inputs'!B15/'1. Inputs'!B17+'1. Inputs'!B16*'1. Inputs'!B18/12)/1300</f>
        <v>15.60453967</v>
      </c>
      <c r="E4" s="38" t="s">
        <v>118</v>
      </c>
    </row>
    <row r="5" ht="36.0" customHeight="1">
      <c r="A5" s="7" t="s">
        <v>119</v>
      </c>
      <c r="B5" s="25">
        <f>'1. Inputs'!B11</f>
        <v>0.004</v>
      </c>
      <c r="C5" s="25">
        <f>(('1. Inputs'!B11/2)/1000*'1. Inputs'!B7*30)+'1. Inputs'!B12/1300+'1. Inputs'!B21/1300+'1. Inputs'!B27/1300+('1. Inputs'!B15/'1. Inputs'!B17+'1. Inputs'!B16*'1. Inputs'!B18/12)/1300</f>
        <v>0.1995661538</v>
      </c>
      <c r="D5" s="25">
        <f>(('1. Inputs'!B11*2)/1000*'1. Inputs'!B7*30)+'1. Inputs'!B12/1300+'1. Inputs'!B21/1300+'1. Inputs'!B27/1300+('1. Inputs'!B15/'1. Inputs'!B17+'1. Inputs'!B16*'1. Inputs'!B18/12)/1300</f>
        <v>0.2017261538</v>
      </c>
      <c r="E5" s="38" t="s">
        <v>120</v>
      </c>
    </row>
    <row r="6" ht="36.0" customHeight="1">
      <c r="A6" s="7" t="s">
        <v>121</v>
      </c>
      <c r="B6" s="25">
        <f>'1. Inputs'!B12</f>
        <v>150</v>
      </c>
      <c r="C6" s="25">
        <f>'2. Per-call'!B10*'1. Inputs'!B7*30+('1. Inputs'!B12/2)/1300+'1. Inputs'!B21/1300+'1. Inputs'!B27/1300+('1. Inputs'!B15/'1. Inputs'!B17+'1. Inputs'!B16*'1. Inputs'!B18/12)/1300</f>
        <v>7.844000606</v>
      </c>
      <c r="D6" s="25">
        <f>'2. Per-call'!B10*'1. Inputs'!B7*30+('1. Inputs'!B12*2)/1300+'1. Inputs'!B21/1300+'1. Inputs'!B27/1300+('1. Inputs'!B15/'1. Inputs'!B17+'1. Inputs'!B16*'1. Inputs'!B18/12)/1300</f>
        <v>8.017077529</v>
      </c>
      <c r="E6" s="38" t="s">
        <v>122</v>
      </c>
    </row>
    <row r="7" ht="36.0" customHeight="1">
      <c r="A7" s="7" t="s">
        <v>123</v>
      </c>
      <c r="B7" s="25">
        <f>'1. Inputs'!B18</f>
        <v>18</v>
      </c>
      <c r="C7" s="25">
        <f>'2. Per-call'!B10*'1. Inputs'!B7*30+'1. Inputs'!B12/1300+'1. Inputs'!B21/1300+'1. Inputs'!B27/1300+('1. Inputs'!B15/'1. Inputs'!B17+'1. Inputs'!B16*('1. Inputs'!B18/2)/12)/1300</f>
        <v>7.899385222</v>
      </c>
      <c r="D7" s="25">
        <f>'2. Per-call'!B10*'1. Inputs'!B7*30+'1. Inputs'!B12/1300+'1. Inputs'!B21/1300+'1. Inputs'!B27/1300+('1. Inputs'!B15/'1. Inputs'!B17+'1. Inputs'!B16*('1. Inputs'!B18*2)/12)/1300</f>
        <v>7.906308298</v>
      </c>
      <c r="E7" s="38" t="s">
        <v>124</v>
      </c>
    </row>
    <row r="8" ht="36.0" customHeight="1">
      <c r="A8" s="7" t="s">
        <v>125</v>
      </c>
      <c r="B8" s="25">
        <f>'1. Inputs'!B23</f>
        <v>0.01</v>
      </c>
      <c r="C8" s="25">
        <f>('2. Per-call'!B4+'2. Per-call'!B5+('1. Inputs'!B22*('1. Inputs'!B11/1000))+('1. Inputs'!B23/2)*'1. Inputs'!B24+'2. Per-call'!B6)*'1. Inputs'!B7*30+'1. Inputs'!B12/1300+'1. Inputs'!B21/1300+'1. Inputs'!B27/1300+('1. Inputs'!B15/'1. Inputs'!B17+'1. Inputs'!B16*'1. Inputs'!B18/12)/1300</f>
        <v>3.801692914</v>
      </c>
      <c r="D8" s="25">
        <f>('2. Per-call'!B4+'2. Per-call'!B5+('1. Inputs'!B22*('1. Inputs'!B11/1000))+('1. Inputs'!B23*2)*'1. Inputs'!B24+'2. Per-call'!B6)*'1. Inputs'!B7*30+'1. Inputs'!B12/1300+'1. Inputs'!B21/1300+'1. Inputs'!B27/1300+('1. Inputs'!B15/'1. Inputs'!B17+'1. Inputs'!B16*'1. Inputs'!B18/12)/1300</f>
        <v>14.60169291</v>
      </c>
      <c r="E8" s="38" t="s">
        <v>126</v>
      </c>
    </row>
    <row r="9" ht="49.5" customHeight="1">
      <c r="A9" s="39" t="s">
        <v>127</v>
      </c>
      <c r="B9" s="2"/>
      <c r="C9" s="2"/>
      <c r="D9" s="2"/>
      <c r="E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9:E9"/>
  </mergeCells>
  <printOptions/>
  <pageMargins bottom="1.0" footer="0.0" header="0.0" left="0.75" right="0.75" top="1.0"/>
  <pageSetup paperSize="9" orientation="portrait"/>
  <drawing r:id="rId1"/>
</worksheet>
</file>